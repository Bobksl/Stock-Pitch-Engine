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necthkuhk-my.sharepoint.com/personal/u3623505_connect_hku_hk/Documents/"/>
    </mc:Choice>
  </mc:AlternateContent>
  <xr:revisionPtr revIDLastSave="479" documentId="8_{AA6B2FB4-02F9-4207-B363-E75309F1FFDB}" xr6:coauthVersionLast="47" xr6:coauthVersionMax="47" xr10:uidLastSave="{C77C8501-9CEC-41AC-A685-B642E102FC9C}"/>
  <bookViews>
    <workbookView xWindow="-108" yWindow="-108" windowWidth="23256" windowHeight="12456" xr2:uid="{E21EB5BA-CEEA-4290-B413-2F226CA2DB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P9" i="1" l="1"/>
  <c r="P12" i="1"/>
  <c r="F11" i="1"/>
  <c r="F14" i="1" s="1"/>
  <c r="G11" i="1"/>
  <c r="G14" i="1" s="1"/>
  <c r="H11" i="1"/>
  <c r="H14" i="1" s="1"/>
  <c r="E11" i="1"/>
  <c r="E14" i="1" s="1"/>
  <c r="I3" i="1"/>
  <c r="J3" i="1" s="1"/>
  <c r="J7" i="1" l="1"/>
  <c r="J5" i="1"/>
  <c r="K3" i="1"/>
  <c r="I5" i="1"/>
  <c r="I7" i="1"/>
  <c r="B7" i="1"/>
  <c r="B8" i="1" s="1"/>
  <c r="B10" i="1"/>
  <c r="B13" i="1" l="1"/>
  <c r="J10" i="1"/>
  <c r="J11" i="1" s="1"/>
  <c r="J14" i="1" s="1"/>
  <c r="I10" i="1"/>
  <c r="I11" i="1" s="1"/>
  <c r="I14" i="1" s="1"/>
  <c r="L3" i="1"/>
  <c r="K7" i="1"/>
  <c r="K5" i="1"/>
  <c r="J15" i="1" l="1"/>
  <c r="J16" i="1" s="1"/>
  <c r="I15" i="1"/>
  <c r="I16" i="1" s="1"/>
  <c r="N15" i="1"/>
  <c r="M15" i="1"/>
  <c r="L15" i="1"/>
  <c r="K10" i="1"/>
  <c r="K11" i="1" s="1"/>
  <c r="K14" i="1" s="1"/>
  <c r="M3" i="1"/>
  <c r="L7" i="1"/>
  <c r="L5" i="1"/>
  <c r="K15" i="1"/>
  <c r="K16" i="1" l="1"/>
  <c r="L10" i="1"/>
  <c r="L11" i="1" s="1"/>
  <c r="L14" i="1" s="1"/>
  <c r="L16" i="1" s="1"/>
  <c r="N3" i="1"/>
  <c r="M5" i="1"/>
  <c r="M7" i="1"/>
  <c r="M10" i="1" l="1"/>
  <c r="M11" i="1" s="1"/>
  <c r="M14" i="1" s="1"/>
  <c r="M16" i="1" s="1"/>
  <c r="P3" i="1"/>
  <c r="N7" i="1"/>
  <c r="N5" i="1"/>
  <c r="P5" i="1" s="1"/>
  <c r="N10" i="1" l="1"/>
  <c r="P7" i="1"/>
  <c r="N11" i="1" l="1"/>
  <c r="N14" i="1" s="1"/>
  <c r="N16" i="1" s="1"/>
  <c r="P10" i="1"/>
  <c r="B18" i="1" l="1"/>
  <c r="B20" i="1" s="1"/>
  <c r="B19" i="1"/>
  <c r="B22" i="1" l="1"/>
  <c r="B25" i="1" s="1"/>
  <c r="B27" i="1" s="1"/>
</calcChain>
</file>

<file path=xl/sharedStrings.xml><?xml version="1.0" encoding="utf-8"?>
<sst xmlns="http://schemas.openxmlformats.org/spreadsheetml/2006/main" count="40" uniqueCount="40">
  <si>
    <t>Beta</t>
  </si>
  <si>
    <t>Risk-free rate</t>
  </si>
  <si>
    <t>Equity Risk Premium</t>
  </si>
  <si>
    <t>D/(D+E)</t>
  </si>
  <si>
    <t>E/(D+E)</t>
  </si>
  <si>
    <t>Cost of Equity</t>
  </si>
  <si>
    <t>Revenue</t>
  </si>
  <si>
    <t>growth rate</t>
  </si>
  <si>
    <t>Gross profit</t>
  </si>
  <si>
    <t>gross profit margin</t>
  </si>
  <si>
    <t>EBITDA margin</t>
  </si>
  <si>
    <t>Real</t>
  </si>
  <si>
    <t>Forecast</t>
  </si>
  <si>
    <t>Cost of Debt</t>
  </si>
  <si>
    <t>Tax rate</t>
  </si>
  <si>
    <t>WACC</t>
  </si>
  <si>
    <t>EBIT</t>
  </si>
  <si>
    <t>(+) EBITDA</t>
  </si>
  <si>
    <t>(-) Tax @16.6%</t>
  </si>
  <si>
    <t>(-) CapEx</t>
  </si>
  <si>
    <t>(-) Change in NWC</t>
  </si>
  <si>
    <t>UFCF</t>
  </si>
  <si>
    <t>(in TWD billion)</t>
  </si>
  <si>
    <t>D&amp;A</t>
  </si>
  <si>
    <t>Discount factor</t>
  </si>
  <si>
    <t>Discounted UFCF</t>
  </si>
  <si>
    <t>Terminal growth rate</t>
  </si>
  <si>
    <t>Terminal value</t>
  </si>
  <si>
    <t>PV (Terminal value)</t>
  </si>
  <si>
    <t>Entreprise value</t>
  </si>
  <si>
    <t>Equity value</t>
  </si>
  <si>
    <t>Share price</t>
  </si>
  <si>
    <t>PV (Sum of UFCF)</t>
  </si>
  <si>
    <t>CAGR</t>
  </si>
  <si>
    <t>25'-30'</t>
  </si>
  <si>
    <t>Shares outstanding</t>
  </si>
  <si>
    <t xml:space="preserve">(-) Total debt </t>
  </si>
  <si>
    <t>(+) Cash and cash equivalents</t>
  </si>
  <si>
    <t>Debt (in trilion)</t>
  </si>
  <si>
    <t>Equity (in trilion)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</si>
</sst>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等线"/>
      <family val="2"/>
      <scheme val="minor"/>
    </font>
    <font>
      <sz val="11"/>
      <color theme="1"/>
      <name val="Calibri"/>
      <family val="2"/>
    </font>
    <font>
      <sz val="11"/>
      <color theme="1"/>
      <name val="等线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0" fontId="1" fillId="0" borderId="0" xfId="0" applyNumberFormat="1" applyFont="1"/>
    <xf numFmtId="10" fontId="1" fillId="0" borderId="0" xfId="1" applyNumberFormat="1" applyFont="1"/>
    <xf numFmtId="2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10" fontId="4" fillId="0" borderId="0" xfId="1" applyNumberFormat="1" applyFont="1"/>
    <xf numFmtId="43" fontId="1" fillId="0" borderId="0" xfId="0" applyNumberFormat="1" applyFont="1"/>
    <xf numFmtId="43" fontId="4" fillId="0" borderId="0" xfId="0" applyNumberFormat="1" applyFont="1"/>
    <xf numFmtId="10" fontId="4" fillId="0" borderId="0" xfId="0" applyNumberFormat="1" applyFont="1"/>
    <xf numFmtId="0" fontId="5" fillId="0" borderId="0" xfId="0" applyFont="1"/>
    <xf numFmtId="0" fontId="6" fillId="0" borderId="0" xfId="0" applyFont="1"/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083E-D8BE-4DC6-BE13-E1D6449D7EAF}">
  <dimension ref="A1:X27"/>
  <sheetViews>
    <sheetView tabSelected="1" zoomScale="130" workbookViewId="0">
      <selection activeCell="Q4" sqref="Q4"/>
    </sheetView>
  </sheetViews>
  <sheetFormatPr defaultRowHeight="14.4" x14ac:dyDescent="0.3"/>
  <cols>
    <col min="1" max="1" width="25.88671875" style="1" bestFit="1" customWidth="1"/>
    <col min="2" max="2" width="11.21875" style="1" bestFit="1" customWidth="1"/>
    <col min="3" max="3" width="8.88671875" style="1"/>
    <col min="4" max="4" width="18.5546875" style="1" customWidth="1"/>
    <col min="5" max="8" width="10.109375" style="1" hidden="1" customWidth="1"/>
    <col min="9" max="14" width="9.77734375" style="1" bestFit="1" customWidth="1"/>
    <col min="15" max="15" width="8.88671875" style="1"/>
    <col min="16" max="16" width="7" style="1" bestFit="1" customWidth="1"/>
    <col min="17" max="24" width="8.88671875" style="1"/>
  </cols>
  <sheetData>
    <row r="1" spans="1:16" x14ac:dyDescent="0.3">
      <c r="A1" s="12" t="s">
        <v>0</v>
      </c>
      <c r="B1" s="1">
        <v>1.22</v>
      </c>
      <c r="E1" s="14" t="s">
        <v>11</v>
      </c>
      <c r="F1" s="14"/>
      <c r="G1" s="14"/>
      <c r="H1" s="14"/>
      <c r="I1" s="14" t="s">
        <v>12</v>
      </c>
      <c r="J1" s="14"/>
      <c r="K1" s="14"/>
      <c r="L1" s="14"/>
      <c r="M1" s="14"/>
      <c r="N1" s="14"/>
      <c r="P1" s="6" t="s">
        <v>33</v>
      </c>
    </row>
    <row r="2" spans="1:16" x14ac:dyDescent="0.3">
      <c r="A2" s="1" t="s">
        <v>1</v>
      </c>
      <c r="B2" s="2">
        <v>1.38E-2</v>
      </c>
      <c r="D2" s="1" t="s">
        <v>22</v>
      </c>
      <c r="E2" s="6">
        <v>2021</v>
      </c>
      <c r="F2" s="6">
        <v>2022</v>
      </c>
      <c r="G2" s="6">
        <v>2023</v>
      </c>
      <c r="H2" s="6">
        <v>2024</v>
      </c>
      <c r="I2" s="6">
        <v>2025</v>
      </c>
      <c r="J2" s="6">
        <v>2026</v>
      </c>
      <c r="K2" s="6">
        <v>2027</v>
      </c>
      <c r="L2" s="6">
        <v>2028</v>
      </c>
      <c r="M2" s="6">
        <v>2029</v>
      </c>
      <c r="N2" s="6">
        <v>2030</v>
      </c>
      <c r="P2" s="6" t="s">
        <v>34</v>
      </c>
    </row>
    <row r="3" spans="1:16" x14ac:dyDescent="0.3">
      <c r="A3" s="1" t="s">
        <v>2</v>
      </c>
      <c r="B3" s="3">
        <v>5.1799999999999999E-2</v>
      </c>
      <c r="D3" s="1" t="s">
        <v>6</v>
      </c>
      <c r="E3" s="9">
        <v>1587.415</v>
      </c>
      <c r="F3" s="9">
        <v>2263.8912999999998</v>
      </c>
      <c r="G3" s="9">
        <v>2161.7357999999999</v>
      </c>
      <c r="H3" s="9">
        <v>2894.3076999999998</v>
      </c>
      <c r="I3" s="9">
        <f>H3*(1+I4)</f>
        <v>3959.4129335999996</v>
      </c>
      <c r="J3" s="9">
        <f t="shared" ref="J3:N3" si="0">I3*(1+J4)</f>
        <v>4533.5278089719995</v>
      </c>
      <c r="K3" s="9">
        <f t="shared" si="0"/>
        <v>5159.1546466101354</v>
      </c>
      <c r="L3" s="9">
        <f t="shared" si="0"/>
        <v>5835.0039053160635</v>
      </c>
      <c r="M3" s="9">
        <f t="shared" si="0"/>
        <v>6558.544389575256</v>
      </c>
      <c r="N3" s="9">
        <f t="shared" si="0"/>
        <v>7312.7769943764106</v>
      </c>
      <c r="P3" s="3">
        <f>POWER(N3/I3,1/6)-1</f>
        <v>0.10766539691250854</v>
      </c>
    </row>
    <row r="4" spans="1:16" x14ac:dyDescent="0.3">
      <c r="D4" s="5" t="s">
        <v>7</v>
      </c>
      <c r="E4" s="3">
        <v>0.18529999999999999</v>
      </c>
      <c r="F4" s="3">
        <v>0.42609999999999998</v>
      </c>
      <c r="G4" s="3">
        <v>-4.5100000000000001E-2</v>
      </c>
      <c r="H4" s="3">
        <v>0.33889999999999998</v>
      </c>
      <c r="I4" s="2">
        <v>0.36799999999999999</v>
      </c>
      <c r="J4" s="2">
        <v>0.14499999999999999</v>
      </c>
      <c r="K4" s="2">
        <v>0.13800000000000001</v>
      </c>
      <c r="L4" s="2">
        <v>0.13100000000000001</v>
      </c>
      <c r="M4" s="2">
        <v>0.124</v>
      </c>
      <c r="N4" s="2">
        <v>0.115</v>
      </c>
    </row>
    <row r="5" spans="1:16" x14ac:dyDescent="0.3">
      <c r="A5" s="1" t="s">
        <v>38</v>
      </c>
      <c r="B5" s="1">
        <v>1.01</v>
      </c>
      <c r="D5" s="1" t="s">
        <v>8</v>
      </c>
      <c r="E5" s="9">
        <v>819.53729999999996</v>
      </c>
      <c r="F5" s="9">
        <v>1348.3548000000001</v>
      </c>
      <c r="G5" s="9">
        <v>1175.1106</v>
      </c>
      <c r="H5" s="9">
        <v>1624.3535999999999</v>
      </c>
      <c r="I5" s="9">
        <f>I3*I6</f>
        <v>2217.6671841093598</v>
      </c>
      <c r="J5" s="9">
        <f t="shared" ref="J5:N5" si="1">J3*J6</f>
        <v>2538.7755730243198</v>
      </c>
      <c r="K5" s="9">
        <f t="shared" si="1"/>
        <v>2865.9104061919302</v>
      </c>
      <c r="L5" s="9">
        <f t="shared" si="1"/>
        <v>3238.4271674504157</v>
      </c>
      <c r="M5" s="9">
        <f t="shared" si="1"/>
        <v>3607.1994142663912</v>
      </c>
      <c r="N5" s="9">
        <f t="shared" si="1"/>
        <v>3981.8070734379553</v>
      </c>
      <c r="P5" s="3">
        <f>POWER(N5/I5,1/6)-1</f>
        <v>0.10246287565597689</v>
      </c>
    </row>
    <row r="6" spans="1:16" x14ac:dyDescent="0.3">
      <c r="A6" s="1" t="s">
        <v>39</v>
      </c>
      <c r="B6" s="4">
        <f>36.31-B5</f>
        <v>35.300000000000004</v>
      </c>
      <c r="D6" s="5" t="s">
        <v>9</v>
      </c>
      <c r="E6" s="3">
        <v>0.51629999999999998</v>
      </c>
      <c r="F6" s="3">
        <v>0.59560000000000002</v>
      </c>
      <c r="G6" s="3">
        <v>0.54359999999999997</v>
      </c>
      <c r="H6" s="3">
        <v>0.56120000000000003</v>
      </c>
      <c r="I6" s="2">
        <v>0.56010000000000004</v>
      </c>
      <c r="J6" s="2">
        <v>0.56000000000000005</v>
      </c>
      <c r="K6" s="2">
        <v>0.55549999999999999</v>
      </c>
      <c r="L6" s="2">
        <v>0.55500000000000005</v>
      </c>
      <c r="M6" s="2">
        <v>0.55000000000000004</v>
      </c>
      <c r="N6" s="2">
        <v>0.54449999999999998</v>
      </c>
    </row>
    <row r="7" spans="1:16" x14ac:dyDescent="0.3">
      <c r="A7" s="1" t="s">
        <v>3</v>
      </c>
      <c r="B7" s="3">
        <f>B5/(B5+B6)</f>
        <v>2.7816028642247314E-2</v>
      </c>
      <c r="D7" s="1" t="s">
        <v>17</v>
      </c>
      <c r="E7" s="9">
        <v>1090.8451</v>
      </c>
      <c r="F7" s="9">
        <v>1593.0764999999999</v>
      </c>
      <c r="G7" s="9">
        <v>1523.5068000000001</v>
      </c>
      <c r="H7" s="9">
        <v>2079.1320000000001</v>
      </c>
      <c r="I7" s="9">
        <f>I3*I8</f>
        <v>2665.87272819288</v>
      </c>
      <c r="J7" s="9">
        <f t="shared" ref="J7:N7" si="2">J3*J8</f>
        <v>3112.7201936401748</v>
      </c>
      <c r="K7" s="9">
        <f t="shared" si="2"/>
        <v>3488.6203720377734</v>
      </c>
      <c r="L7" s="9">
        <f t="shared" si="2"/>
        <v>4022.6516923248942</v>
      </c>
      <c r="M7" s="9">
        <f t="shared" si="2"/>
        <v>4421.1147730126804</v>
      </c>
      <c r="N7" s="9">
        <f t="shared" si="2"/>
        <v>5030.4592944315327</v>
      </c>
      <c r="P7" s="3">
        <f>POWER(N7/I7,1/6)-1</f>
        <v>0.11163284750411617</v>
      </c>
    </row>
    <row r="8" spans="1:16" x14ac:dyDescent="0.3">
      <c r="A8" s="1" t="s">
        <v>4</v>
      </c>
      <c r="B8" s="3">
        <f>1-B7</f>
        <v>0.9721839713577527</v>
      </c>
      <c r="D8" s="5" t="s">
        <v>10</v>
      </c>
      <c r="E8" s="3">
        <v>0.67559999999999998</v>
      </c>
      <c r="F8" s="3">
        <v>0.68879999999999997</v>
      </c>
      <c r="G8" s="3">
        <v>0.6724</v>
      </c>
      <c r="H8" s="3">
        <v>0.68579999999999997</v>
      </c>
      <c r="I8" s="2">
        <v>0.67330000000000001</v>
      </c>
      <c r="J8" s="2">
        <v>0.68659999999999999</v>
      </c>
      <c r="K8" s="2">
        <v>0.67620000000000002</v>
      </c>
      <c r="L8" s="2">
        <v>0.68940000000000001</v>
      </c>
      <c r="M8" s="2">
        <v>0.67410000000000003</v>
      </c>
      <c r="N8" s="2">
        <v>0.68789999999999996</v>
      </c>
      <c r="P8" s="3"/>
    </row>
    <row r="9" spans="1:16" x14ac:dyDescent="0.3">
      <c r="D9" s="1" t="s">
        <v>23</v>
      </c>
      <c r="E9" s="9">
        <v>422.39490000000001</v>
      </c>
      <c r="F9" s="9">
        <v>437.2543</v>
      </c>
      <c r="G9" s="9">
        <v>532.19090000000006</v>
      </c>
      <c r="H9" s="9">
        <v>662.79660000000001</v>
      </c>
      <c r="I9" s="9">
        <v>791.9</v>
      </c>
      <c r="J9" s="9">
        <v>906.8</v>
      </c>
      <c r="K9" s="9">
        <v>1038.83</v>
      </c>
      <c r="L9" s="9">
        <v>1188.8800000000001</v>
      </c>
      <c r="M9" s="9">
        <v>1361.2</v>
      </c>
      <c r="N9" s="9">
        <v>1448.3</v>
      </c>
      <c r="P9" s="3">
        <f t="shared" ref="P9:P12" si="3">POWER(N9/I9,1/6)-1</f>
        <v>0.10585460631624066</v>
      </c>
    </row>
    <row r="10" spans="1:16" x14ac:dyDescent="0.3">
      <c r="A10" s="1" t="s">
        <v>5</v>
      </c>
      <c r="B10" s="2">
        <f>B2+B1*B3</f>
        <v>7.6996000000000009E-2</v>
      </c>
      <c r="D10" s="1" t="s">
        <v>16</v>
      </c>
      <c r="E10" s="9">
        <v>668.4502</v>
      </c>
      <c r="F10" s="9">
        <v>1155.8222000000001</v>
      </c>
      <c r="G10" s="9">
        <v>991.31590000000006</v>
      </c>
      <c r="H10" s="9">
        <v>1416.3353999999999</v>
      </c>
      <c r="I10" s="9">
        <f>I7-I9</f>
        <v>1873.9727281928799</v>
      </c>
      <c r="J10" s="9">
        <f t="shared" ref="J10:N10" si="4">J7-J9</f>
        <v>2205.9201936401751</v>
      </c>
      <c r="K10" s="9">
        <f t="shared" si="4"/>
        <v>2449.7903720377735</v>
      </c>
      <c r="L10" s="9">
        <f t="shared" si="4"/>
        <v>2833.771692324894</v>
      </c>
      <c r="M10" s="9">
        <f t="shared" si="4"/>
        <v>3059.9147730126806</v>
      </c>
      <c r="N10" s="9">
        <f t="shared" si="4"/>
        <v>3582.1592944315325</v>
      </c>
      <c r="P10" s="3">
        <f t="shared" si="3"/>
        <v>0.11403013288980102</v>
      </c>
    </row>
    <row r="11" spans="1:16" x14ac:dyDescent="0.3">
      <c r="A11" s="1" t="s">
        <v>13</v>
      </c>
      <c r="B11" s="3">
        <v>4.1919999999999999E-2</v>
      </c>
      <c r="D11" s="1" t="s">
        <v>18</v>
      </c>
      <c r="E11" s="9">
        <f>-E10*$B$12</f>
        <v>-110.9627332</v>
      </c>
      <c r="F11" s="9">
        <f t="shared" ref="F11:N11" si="5">-F10*$B$12</f>
        <v>-191.86648520000003</v>
      </c>
      <c r="G11" s="9">
        <f t="shared" si="5"/>
        <v>-164.55843940000003</v>
      </c>
      <c r="H11" s="9">
        <f t="shared" si="5"/>
        <v>-235.11167639999999</v>
      </c>
      <c r="I11" s="9">
        <f t="shared" si="5"/>
        <v>-311.0794728800181</v>
      </c>
      <c r="J11" s="9">
        <f t="shared" si="5"/>
        <v>-366.1827521442691</v>
      </c>
      <c r="K11" s="9">
        <f t="shared" si="5"/>
        <v>-406.66520175827043</v>
      </c>
      <c r="L11" s="9">
        <f t="shared" si="5"/>
        <v>-470.40610092593244</v>
      </c>
      <c r="M11" s="9">
        <f t="shared" si="5"/>
        <v>-507.94585232010502</v>
      </c>
      <c r="N11" s="9">
        <f t="shared" si="5"/>
        <v>-594.63844287563438</v>
      </c>
      <c r="P11" s="3"/>
    </row>
    <row r="12" spans="1:16" x14ac:dyDescent="0.3">
      <c r="A12" s="1" t="s">
        <v>14</v>
      </c>
      <c r="B12" s="2">
        <v>0.16600000000000001</v>
      </c>
      <c r="D12" s="1" t="s">
        <v>19</v>
      </c>
      <c r="E12" s="9">
        <v>-849.43640000000005</v>
      </c>
      <c r="F12" s="9">
        <v>-1089.6264000000001</v>
      </c>
      <c r="G12" s="9">
        <v>-955.39840000000004</v>
      </c>
      <c r="H12" s="9">
        <v>-964.98159999999996</v>
      </c>
      <c r="I12" s="9">
        <v>-1187.9000000000001</v>
      </c>
      <c r="J12" s="9">
        <v>-1360.2</v>
      </c>
      <c r="K12" s="9">
        <v>-1557.42</v>
      </c>
      <c r="L12" s="9">
        <v>-1783.29</v>
      </c>
      <c r="M12" s="9">
        <v>-2041.88</v>
      </c>
      <c r="N12" s="9">
        <v>-2134.46</v>
      </c>
      <c r="P12" s="3">
        <f t="shared" si="3"/>
        <v>0.10260008856351055</v>
      </c>
    </row>
    <row r="13" spans="1:16" x14ac:dyDescent="0.3">
      <c r="A13" s="7" t="s">
        <v>15</v>
      </c>
      <c r="B13" s="8">
        <f>B10*B8+B11*(1-B12)*B7</f>
        <v>7.5826761024511163E-2</v>
      </c>
      <c r="D13" s="1" t="s">
        <v>20</v>
      </c>
      <c r="E13" s="9">
        <v>-132.46629999999999</v>
      </c>
      <c r="F13" s="9">
        <v>-122.5085</v>
      </c>
      <c r="G13" s="9">
        <v>56.851999999999997</v>
      </c>
      <c r="H13" s="9">
        <v>-13.350899999999999</v>
      </c>
      <c r="I13" s="9">
        <v>-53.3</v>
      </c>
      <c r="J13" s="9">
        <v>-28.7</v>
      </c>
      <c r="K13" s="9">
        <v>-32.9</v>
      </c>
      <c r="L13" s="9">
        <v>-37.6</v>
      </c>
      <c r="M13" s="9">
        <v>-43.1</v>
      </c>
      <c r="N13" s="9">
        <v>-40.799999999999997</v>
      </c>
      <c r="P13" s="3"/>
    </row>
    <row r="14" spans="1:16" x14ac:dyDescent="0.3">
      <c r="B14" s="2"/>
      <c r="D14" s="1" t="s">
        <v>21</v>
      </c>
      <c r="E14" s="9">
        <f>E7+E11+E12+E13</f>
        <v>-2.0203332000000387</v>
      </c>
      <c r="F14" s="9">
        <f t="shared" ref="F14:I14" si="6">F7+F11+F12+F13</f>
        <v>189.07511479999985</v>
      </c>
      <c r="G14" s="9">
        <f t="shared" si="6"/>
        <v>460.40196060000005</v>
      </c>
      <c r="H14" s="9">
        <f t="shared" si="6"/>
        <v>865.6878236</v>
      </c>
      <c r="I14" s="9">
        <f t="shared" si="6"/>
        <v>1113.5932553128621</v>
      </c>
      <c r="J14" s="9">
        <f t="shared" ref="J14" si="7">J7+J11+J12+J13</f>
        <v>1357.6374414959055</v>
      </c>
      <c r="K14" s="9">
        <f t="shared" ref="K14" si="8">K7+K11+K12+K13</f>
        <v>1491.6351702795027</v>
      </c>
      <c r="L14" s="9">
        <f t="shared" ref="L14" si="9">L7+L11+L12+L13</f>
        <v>1731.3555913989617</v>
      </c>
      <c r="M14" s="9">
        <f t="shared" ref="M14" si="10">M7+M11+M12+M13</f>
        <v>1828.1889206925753</v>
      </c>
      <c r="N14" s="9">
        <f t="shared" ref="N14" si="11">N7+N11+N12+N13</f>
        <v>2260.5608515558979</v>
      </c>
    </row>
    <row r="15" spans="1:16" x14ac:dyDescent="0.3">
      <c r="B15" s="2"/>
      <c r="D15" s="1" t="s">
        <v>24</v>
      </c>
      <c r="E15" s="9"/>
      <c r="I15" s="9">
        <f>1/POWER(1+B13,1/6)</f>
        <v>0.98789232068441779</v>
      </c>
      <c r="J15" s="9">
        <f>1/POWER(1+$B$13,7/6)</f>
        <v>0.91826338261342999</v>
      </c>
      <c r="K15" s="9">
        <f>1/POWER(1+$B$13,13/6)</f>
        <v>0.85354205331253019</v>
      </c>
      <c r="L15" s="9">
        <f>1/POWER(1+$B$13,19/6)</f>
        <v>0.7933824331528071</v>
      </c>
      <c r="M15" s="9">
        <f>1/POWER(1+$B$13,25/6)</f>
        <v>0.73746300231207118</v>
      </c>
      <c r="N15" s="9">
        <f>1/POWER(1+$B$13,31/6)</f>
        <v>0.68548490242962945</v>
      </c>
    </row>
    <row r="16" spans="1:16" x14ac:dyDescent="0.3">
      <c r="D16" s="1" t="s">
        <v>25</v>
      </c>
      <c r="E16" s="9"/>
      <c r="F16" s="9"/>
      <c r="G16" s="9"/>
      <c r="H16" s="9"/>
      <c r="I16" s="9">
        <f>I14*I15</f>
        <v>1100.1102252895387</v>
      </c>
      <c r="J16" s="9">
        <f t="shared" ref="J16:N16" si="12">J14*J15</f>
        <v>1246.6687493906729</v>
      </c>
      <c r="K16" s="9">
        <f t="shared" si="12"/>
        <v>1273.1733460335524</v>
      </c>
      <c r="L16" s="9">
        <f t="shared" si="12"/>
        <v>1373.6271117568256</v>
      </c>
      <c r="M16" s="9">
        <f t="shared" si="12"/>
        <v>1348.2216902476116</v>
      </c>
      <c r="N16" s="9">
        <f t="shared" si="12"/>
        <v>1549.5803347650346</v>
      </c>
    </row>
    <row r="17" spans="1:14" x14ac:dyDescent="0.3">
      <c r="A17" s="13" t="s">
        <v>26</v>
      </c>
      <c r="B17" s="11">
        <v>4.4499999999999998E-2</v>
      </c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x14ac:dyDescent="0.3">
      <c r="A18" s="1" t="s">
        <v>27</v>
      </c>
      <c r="B18" s="9">
        <f>N16*(1+B17)/(B13-B17)</f>
        <v>51666.262541335767</v>
      </c>
      <c r="E18" s="9"/>
      <c r="F18" s="9"/>
      <c r="G18" s="9"/>
      <c r="H18" s="9"/>
      <c r="I18" s="9"/>
      <c r="J18" s="9"/>
      <c r="K18" s="9"/>
      <c r="L18" s="9"/>
      <c r="M18" s="9"/>
      <c r="N18" s="9"/>
    </row>
    <row r="19" spans="1:14" x14ac:dyDescent="0.3">
      <c r="A19" s="1" t="s">
        <v>32</v>
      </c>
      <c r="B19" s="9">
        <f>SUM(I16:N16)</f>
        <v>7891.3814574832359</v>
      </c>
      <c r="E19" s="9"/>
      <c r="F19" s="9"/>
      <c r="G19" s="9"/>
      <c r="H19" s="9"/>
      <c r="I19" s="9"/>
      <c r="J19" s="9"/>
      <c r="K19" s="9"/>
      <c r="L19" s="9"/>
      <c r="M19" s="9"/>
      <c r="N19" s="9"/>
    </row>
    <row r="20" spans="1:14" x14ac:dyDescent="0.3">
      <c r="A20" s="1" t="s">
        <v>28</v>
      </c>
      <c r="B20" s="9">
        <f>B18*N15</f>
        <v>35416.442937051164</v>
      </c>
    </row>
    <row r="21" spans="1:14" x14ac:dyDescent="0.3">
      <c r="B21" s="9"/>
    </row>
    <row r="22" spans="1:14" x14ac:dyDescent="0.3">
      <c r="A22" s="1" t="s">
        <v>29</v>
      </c>
      <c r="B22" s="9">
        <f>B19+B20</f>
        <v>43307.8243945344</v>
      </c>
    </row>
    <row r="23" spans="1:14" x14ac:dyDescent="0.3">
      <c r="A23" s="1" t="s">
        <v>36</v>
      </c>
      <c r="B23" s="9">
        <v>-1010</v>
      </c>
    </row>
    <row r="24" spans="1:14" x14ac:dyDescent="0.3">
      <c r="A24" s="1" t="s">
        <v>37</v>
      </c>
      <c r="B24" s="9">
        <v>2630</v>
      </c>
    </row>
    <row r="25" spans="1:14" x14ac:dyDescent="0.3">
      <c r="A25" s="1" t="s">
        <v>30</v>
      </c>
      <c r="B25" s="9">
        <f>SUM(B22:B24)</f>
        <v>44927.8243945344</v>
      </c>
    </row>
    <row r="26" spans="1:14" x14ac:dyDescent="0.3">
      <c r="A26" s="1" t="s">
        <v>35</v>
      </c>
      <c r="B26" s="9">
        <v>25.93</v>
      </c>
    </row>
    <row r="27" spans="1:14" x14ac:dyDescent="0.3">
      <c r="A27" s="7" t="s">
        <v>31</v>
      </c>
      <c r="B27" s="10">
        <f>B25/B26</f>
        <v>1732.6580946600232</v>
      </c>
    </row>
  </sheetData>
  <mergeCells count="2">
    <mergeCell ref="E1:H1"/>
    <mergeCell ref="I1:N1"/>
  </mergeCells>
  <pageMargins left="0.7" right="0.7" top="0.75" bottom="0.75" header="0.3" footer="0.3"/>
  <ignoredErrors>
    <ignoredError sqref="L15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cp:lastModifiedBy/>
</cp:coreProperties>
</file>